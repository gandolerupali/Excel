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766\OneDrive\Documents\Excel\"/>
    </mc:Choice>
  </mc:AlternateContent>
  <xr:revisionPtr revIDLastSave="0" documentId="13_ncr:1_{8924700A-4529-402C-BBCE-B36B35B8DAAA}" xr6:coauthVersionLast="47" xr6:coauthVersionMax="47" xr10:uidLastSave="{00000000-0000-0000-0000-000000000000}"/>
  <bookViews>
    <workbookView xWindow="-108" yWindow="-108" windowWidth="23256" windowHeight="12456" xr2:uid="{D9F8E309-8B76-4D19-878B-504B60920CA9}"/>
  </bookViews>
  <sheets>
    <sheet name="mid" sheetId="1" r:id="rId1"/>
    <sheet name="Offset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1" i="1" l="1"/>
  <c r="D20" i="1"/>
  <c r="C20" i="1"/>
  <c r="E21" i="1"/>
  <c r="C21" i="1"/>
  <c r="E22" i="1"/>
  <c r="E23" i="1"/>
  <c r="E24" i="1"/>
  <c r="E25" i="1"/>
  <c r="E26" i="1"/>
  <c r="E27" i="1"/>
  <c r="E28" i="1"/>
  <c r="E29" i="1"/>
  <c r="E30" i="1"/>
  <c r="E31" i="1"/>
  <c r="E32" i="1"/>
  <c r="E33" i="1"/>
  <c r="E20" i="1"/>
  <c r="C22" i="1"/>
  <c r="C23" i="1"/>
  <c r="C24" i="1"/>
  <c r="C25" i="1"/>
  <c r="C26" i="1"/>
  <c r="C27" i="1"/>
  <c r="C28" i="1"/>
  <c r="C29" i="1"/>
  <c r="C30" i="1"/>
  <c r="C31" i="1"/>
  <c r="C32" i="1"/>
  <c r="C33" i="1"/>
  <c r="G4" i="2"/>
  <c r="H8" i="2"/>
  <c r="H9" i="2"/>
  <c r="H10" i="2"/>
  <c r="H11" i="2"/>
  <c r="H5" i="2"/>
  <c r="H6" i="2"/>
  <c r="H7" i="2"/>
  <c r="H12" i="2"/>
  <c r="H13" i="2"/>
  <c r="H14" i="2"/>
  <c r="H15" i="2"/>
  <c r="H16" i="2"/>
  <c r="H4" i="2"/>
  <c r="G5" i="2"/>
  <c r="G6" i="2"/>
  <c r="G7" i="2"/>
  <c r="G8" i="2"/>
  <c r="G9" i="2"/>
  <c r="G10" i="2"/>
  <c r="G11" i="2"/>
  <c r="G12" i="2"/>
  <c r="G13" i="2"/>
  <c r="G14" i="2"/>
  <c r="G15" i="2"/>
  <c r="G16" i="2"/>
  <c r="F5" i="2"/>
  <c r="F6" i="2"/>
  <c r="F7" i="2"/>
  <c r="F8" i="2"/>
  <c r="F9" i="2"/>
  <c r="F10" i="2"/>
  <c r="F11" i="2"/>
  <c r="F12" i="2"/>
  <c r="F13" i="2"/>
  <c r="F14" i="2"/>
  <c r="F15" i="2"/>
  <c r="F16" i="2"/>
  <c r="F4" i="2"/>
  <c r="I14" i="1"/>
  <c r="D22" i="1"/>
  <c r="D23" i="1"/>
  <c r="D24" i="1"/>
  <c r="D25" i="1"/>
  <c r="D26" i="1"/>
  <c r="D27" i="1"/>
  <c r="D28" i="1"/>
  <c r="D29" i="1"/>
  <c r="D30" i="1"/>
  <c r="D31" i="1"/>
  <c r="D32" i="1"/>
  <c r="D33" i="1"/>
</calcChain>
</file>

<file path=xl/sharedStrings.xml><?xml version="1.0" encoding="utf-8"?>
<sst xmlns="http://schemas.openxmlformats.org/spreadsheetml/2006/main" count="126" uniqueCount="102">
  <si>
    <t>Description</t>
  </si>
  <si>
    <t>Name</t>
  </si>
  <si>
    <t>City</t>
  </si>
  <si>
    <t>Pin Code</t>
  </si>
  <si>
    <t>SHIVAM / Mumbai: 208011</t>
  </si>
  <si>
    <t>BRAJESH / Delhi: 208012</t>
  </si>
  <si>
    <t>JITENDRA / Bangalore: 208013</t>
  </si>
  <si>
    <t>PERMENDRA / Hyderabad: 208014</t>
  </si>
  <si>
    <t>VIJAY / Ahmedabad: 2080159</t>
  </si>
  <si>
    <t>DASRATH / Chennai: 208016</t>
  </si>
  <si>
    <t>RANJAY / Kolkata: 208017</t>
  </si>
  <si>
    <t>AMRITLAL / Surat: 208018</t>
  </si>
  <si>
    <t>ANKUSH / Pune: 208019</t>
  </si>
  <si>
    <t>ABDUL / Jaipur: 208020</t>
  </si>
  <si>
    <t>1QLAQ / Lucknow: 208021</t>
  </si>
  <si>
    <t>SARAN / Kanpur: 208022</t>
  </si>
  <si>
    <t>HARGOVIND / Nagpur: 208023</t>
  </si>
  <si>
    <t>SHIVAM / Indore: 208024</t>
  </si>
  <si>
    <t xml:space="preserve">Name </t>
  </si>
  <si>
    <t xml:space="preserve">First Name </t>
  </si>
  <si>
    <t>Middle Name</t>
  </si>
  <si>
    <t>Last Name</t>
  </si>
  <si>
    <t>Abhishek Sudarshan Wavhal</t>
  </si>
  <si>
    <t xml:space="preserve">Sagar Sujit Kamble </t>
  </si>
  <si>
    <t>Jitendra Raju Pardesi</t>
  </si>
  <si>
    <t>Krushna Abhishek Lohare</t>
  </si>
  <si>
    <t>Amit Arun Dhavale</t>
  </si>
  <si>
    <t>Dhanashree Ashok Jadhav</t>
  </si>
  <si>
    <t>Vaishnavi Suraj Rathod</t>
  </si>
  <si>
    <t>Suraj Sanjay Shelke</t>
  </si>
  <si>
    <t>Rushikesh Asaram Bartakke</t>
  </si>
  <si>
    <t>Ganesh Vilas Jadhav</t>
  </si>
  <si>
    <t>Omkar Abhijeet Thorve</t>
  </si>
  <si>
    <t>Anjali Prashant Patil</t>
  </si>
  <si>
    <t>Mayank Uttam Patle</t>
  </si>
  <si>
    <t>Vaishnavi Santosh Ubale</t>
  </si>
  <si>
    <t xml:space="preserve">Abhishek </t>
  </si>
  <si>
    <t>Sudarshan</t>
  </si>
  <si>
    <t xml:space="preserve"> Wavhal</t>
  </si>
  <si>
    <t xml:space="preserve">Sagar </t>
  </si>
  <si>
    <t>Sujit</t>
  </si>
  <si>
    <t xml:space="preserve"> Kamble </t>
  </si>
  <si>
    <t xml:space="preserve">Jitendra </t>
  </si>
  <si>
    <t>Raju</t>
  </si>
  <si>
    <t xml:space="preserve"> Pardesi</t>
  </si>
  <si>
    <t xml:space="preserve">Krushna </t>
  </si>
  <si>
    <t>Abhishek</t>
  </si>
  <si>
    <t xml:space="preserve"> Lohare</t>
  </si>
  <si>
    <t xml:space="preserve">Amit </t>
  </si>
  <si>
    <t>Arun</t>
  </si>
  <si>
    <t xml:space="preserve"> Dhavale</t>
  </si>
  <si>
    <t xml:space="preserve">Dhanashree </t>
  </si>
  <si>
    <t>Ashok</t>
  </si>
  <si>
    <t xml:space="preserve"> Jadhav</t>
  </si>
  <si>
    <t xml:space="preserve">Vaishnavi </t>
  </si>
  <si>
    <t>Suraj</t>
  </si>
  <si>
    <t xml:space="preserve"> Rathod</t>
  </si>
  <si>
    <t xml:space="preserve">Suraj </t>
  </si>
  <si>
    <t>Sanjay</t>
  </si>
  <si>
    <t xml:space="preserve"> Shelke</t>
  </si>
  <si>
    <t xml:space="preserve">Rushikesh </t>
  </si>
  <si>
    <t>Asaram</t>
  </si>
  <si>
    <t xml:space="preserve"> Bartakke</t>
  </si>
  <si>
    <t xml:space="preserve">Ganesh </t>
  </si>
  <si>
    <t>Vilas</t>
  </si>
  <si>
    <t xml:space="preserve">Omkar </t>
  </si>
  <si>
    <t>Abhijeet</t>
  </si>
  <si>
    <t xml:space="preserve"> Thorve</t>
  </si>
  <si>
    <t xml:space="preserve">Anjali </t>
  </si>
  <si>
    <t>Prashant</t>
  </si>
  <si>
    <t xml:space="preserve"> Patil</t>
  </si>
  <si>
    <t xml:space="preserve">Mayank </t>
  </si>
  <si>
    <t>Uttam</t>
  </si>
  <si>
    <t xml:space="preserve"> Patle</t>
  </si>
  <si>
    <t>FirstName</t>
  </si>
  <si>
    <t>MidName</t>
  </si>
  <si>
    <t>LastName</t>
  </si>
  <si>
    <t>Wavhal</t>
  </si>
  <si>
    <t>Sagar</t>
  </si>
  <si>
    <t>Kamble</t>
  </si>
  <si>
    <t>Jitendra</t>
  </si>
  <si>
    <t>Pardesi</t>
  </si>
  <si>
    <t>Krushna</t>
  </si>
  <si>
    <t>Lohare</t>
  </si>
  <si>
    <t>Amit</t>
  </si>
  <si>
    <t>Dhavale</t>
  </si>
  <si>
    <t>Dhanashree</t>
  </si>
  <si>
    <t>Jadhav</t>
  </si>
  <si>
    <t>Vaishnavi</t>
  </si>
  <si>
    <t>Rathod</t>
  </si>
  <si>
    <t>Shelke</t>
  </si>
  <si>
    <t>Rushikesh</t>
  </si>
  <si>
    <t>Bartakke</t>
  </si>
  <si>
    <t>Ganesh</t>
  </si>
  <si>
    <t>Omkar</t>
  </si>
  <si>
    <t>Thorve</t>
  </si>
  <si>
    <t>Anjali</t>
  </si>
  <si>
    <t>Patil</t>
  </si>
  <si>
    <t>Mayank</t>
  </si>
  <si>
    <t>Patle</t>
  </si>
  <si>
    <t>Santosh</t>
  </si>
  <si>
    <t>Ubale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</si>
</sst>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0F4F0-0E4F-4556-9697-BA76F202B556}">
  <dimension ref="B3:J51"/>
  <sheetViews>
    <sheetView tabSelected="1" topLeftCell="A17" zoomScale="130" zoomScaleNormal="130" workbookViewId="0">
      <selection activeCell="D20" sqref="D20"/>
    </sheetView>
  </sheetViews>
  <sheetFormatPr defaultRowHeight="14.4" x14ac:dyDescent="0.3"/>
  <cols>
    <col min="2" max="2" width="30.44140625" bestFit="1" customWidth="1"/>
    <col min="3" max="3" width="12.21875" bestFit="1" customWidth="1"/>
    <col min="4" max="4" width="16.77734375" bestFit="1" customWidth="1"/>
    <col min="5" max="5" width="12.21875" bestFit="1" customWidth="1"/>
    <col min="7" max="7" width="17" bestFit="1" customWidth="1"/>
  </cols>
  <sheetData>
    <row r="3" spans="2:10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10" x14ac:dyDescent="0.3">
      <c r="B4" s="2" t="s">
        <v>4</v>
      </c>
      <c r="C4" s="2"/>
      <c r="D4" s="2"/>
      <c r="E4" s="2"/>
    </row>
    <row r="5" spans="2:10" x14ac:dyDescent="0.3">
      <c r="B5" s="2" t="s">
        <v>5</v>
      </c>
      <c r="C5" s="2"/>
      <c r="D5" s="2"/>
      <c r="E5" s="2"/>
    </row>
    <row r="6" spans="2:10" x14ac:dyDescent="0.3">
      <c r="B6" s="2" t="s">
        <v>6</v>
      </c>
      <c r="C6" s="2"/>
      <c r="D6" s="2"/>
      <c r="E6" s="2"/>
    </row>
    <row r="7" spans="2:10" x14ac:dyDescent="0.3">
      <c r="B7" s="2" t="s">
        <v>7</v>
      </c>
      <c r="C7" s="2"/>
      <c r="D7" s="2"/>
      <c r="E7" s="2"/>
      <c r="H7" s="2">
        <v>1</v>
      </c>
      <c r="I7" s="2">
        <v>9</v>
      </c>
      <c r="J7" s="2">
        <v>6</v>
      </c>
    </row>
    <row r="8" spans="2:10" x14ac:dyDescent="0.3">
      <c r="B8" s="2" t="s">
        <v>8</v>
      </c>
      <c r="C8" s="2"/>
      <c r="D8" s="2"/>
      <c r="E8" s="2"/>
      <c r="H8" s="2">
        <v>7</v>
      </c>
      <c r="I8" s="2">
        <v>2</v>
      </c>
      <c r="J8" s="2">
        <v>7</v>
      </c>
    </row>
    <row r="9" spans="2:10" x14ac:dyDescent="0.3">
      <c r="B9" s="2" t="s">
        <v>9</v>
      </c>
      <c r="C9" s="2"/>
      <c r="D9" s="2"/>
      <c r="E9" s="2"/>
      <c r="H9" s="2">
        <v>1</v>
      </c>
      <c r="I9" s="2">
        <v>7</v>
      </c>
      <c r="J9" s="2">
        <v>9</v>
      </c>
    </row>
    <row r="10" spans="2:10" x14ac:dyDescent="0.3">
      <c r="B10" s="2" t="s">
        <v>10</v>
      </c>
      <c r="C10" s="2"/>
      <c r="D10" s="2"/>
      <c r="E10" s="2"/>
      <c r="H10" s="2">
        <v>9</v>
      </c>
      <c r="I10" s="2">
        <v>10</v>
      </c>
      <c r="J10" s="2">
        <v>7</v>
      </c>
    </row>
    <row r="11" spans="2:10" x14ac:dyDescent="0.3">
      <c r="B11" s="2" t="s">
        <v>11</v>
      </c>
      <c r="C11" s="2"/>
      <c r="D11" s="2"/>
      <c r="E11" s="2"/>
      <c r="H11" s="2">
        <v>1</v>
      </c>
      <c r="I11" s="2">
        <v>5</v>
      </c>
      <c r="J11" s="2">
        <v>10</v>
      </c>
    </row>
    <row r="12" spans="2:10" x14ac:dyDescent="0.3">
      <c r="B12" s="2" t="s">
        <v>12</v>
      </c>
      <c r="C12" s="2"/>
      <c r="D12" s="2"/>
      <c r="E12" s="2"/>
    </row>
    <row r="13" spans="2:10" x14ac:dyDescent="0.3">
      <c r="B13" s="2" t="s">
        <v>13</v>
      </c>
      <c r="C13" s="2"/>
      <c r="D13" s="2"/>
      <c r="E13" s="2"/>
    </row>
    <row r="14" spans="2:10" x14ac:dyDescent="0.3">
      <c r="B14" s="2" t="s">
        <v>14</v>
      </c>
      <c r="C14" s="2"/>
      <c r="D14" s="2"/>
      <c r="E14" s="2"/>
      <c r="I14">
        <f ca="1">OFFSET(H7,2,1)</f>
        <v>7</v>
      </c>
    </row>
    <row r="15" spans="2:10" x14ac:dyDescent="0.3">
      <c r="B15" s="2" t="s">
        <v>15</v>
      </c>
      <c r="C15" s="2"/>
      <c r="D15" s="2"/>
      <c r="E15" s="2"/>
    </row>
    <row r="16" spans="2:10" x14ac:dyDescent="0.3">
      <c r="B16" s="2" t="s">
        <v>16</v>
      </c>
      <c r="C16" s="2"/>
      <c r="D16" s="2"/>
      <c r="E16" s="2"/>
    </row>
    <row r="17" spans="2:5" x14ac:dyDescent="0.3">
      <c r="B17" s="2" t="s">
        <v>17</v>
      </c>
      <c r="C17" s="2"/>
      <c r="D17" s="2"/>
      <c r="E17" s="2"/>
    </row>
    <row r="19" spans="2:5" x14ac:dyDescent="0.3">
      <c r="B19" s="1" t="s">
        <v>18</v>
      </c>
      <c r="C19" s="1" t="s">
        <v>19</v>
      </c>
      <c r="D19" s="1" t="s">
        <v>20</v>
      </c>
      <c r="E19" s="1" t="s">
        <v>21</v>
      </c>
    </row>
    <row r="20" spans="2:5" x14ac:dyDescent="0.3">
      <c r="B20" s="2" t="s">
        <v>22</v>
      </c>
      <c r="C20" s="2" t="str">
        <f>LEFT(B20, FIND(" ",B20)-1)</f>
        <v>Abhishek</v>
      </c>
      <c r="D20" s="2" t="str">
        <f>MID(B20, FIND(" ",B20)+1,(FIND(" ",B20,FIND(" ",B20)+1))-FIND(" ", B20))</f>
        <v xml:space="preserve">Sudarshan </v>
      </c>
      <c r="E20" s="2" t="str">
        <f>RIGHT(B20, FIND(" ",B20)-3)</f>
        <v>Wavhal</v>
      </c>
    </row>
    <row r="21" spans="2:5" x14ac:dyDescent="0.3">
      <c r="B21" s="2" t="s">
        <v>23</v>
      </c>
      <c r="C21" s="2" t="str">
        <f>LEFT(B21, FIND(" ",B21)-1)</f>
        <v>Sagar</v>
      </c>
      <c r="D21" s="2" t="str">
        <f>MID(B21, FIND(" ",B21)+1,(FIND(" ",B21,FIND(" ",B21)+1))-FIND(" ", B21))</f>
        <v xml:space="preserve">Sujit </v>
      </c>
      <c r="E21" s="2" t="str">
        <f>RIGHT(B21, FIND(" ",B21)-2)</f>
        <v xml:space="preserve">ble </v>
      </c>
    </row>
    <row r="22" spans="2:5" x14ac:dyDescent="0.3">
      <c r="B22" s="2" t="s">
        <v>24</v>
      </c>
      <c r="C22" s="2" t="str">
        <f t="shared" ref="C22:C33" si="0">LEFT(B22, FIND(" ",B22)-1)</f>
        <v>Jitendra</v>
      </c>
      <c r="D22" s="2" t="str">
        <f t="shared" ref="D22:D33" si="1">MID(B22,FIND(" ",B22)+1,(FIND(" ",B22,FIND(" ",B22)+1))-FIND(" ", B22))</f>
        <v xml:space="preserve">Raju </v>
      </c>
      <c r="E22" s="2" t="str">
        <f t="shared" ref="E22:E33" si="2">RIGHT(B22, FIND(" ",B22)-3)</f>
        <v>ardesi</v>
      </c>
    </row>
    <row r="23" spans="2:5" x14ac:dyDescent="0.3">
      <c r="B23" s="2" t="s">
        <v>25</v>
      </c>
      <c r="C23" s="2" t="str">
        <f t="shared" si="0"/>
        <v>Krushna</v>
      </c>
      <c r="D23" s="2" t="str">
        <f t="shared" si="1"/>
        <v xml:space="preserve">Abhishek </v>
      </c>
      <c r="E23" s="2" t="str">
        <f t="shared" si="2"/>
        <v>ohare</v>
      </c>
    </row>
    <row r="24" spans="2:5" x14ac:dyDescent="0.3">
      <c r="B24" s="2" t="s">
        <v>26</v>
      </c>
      <c r="C24" s="2" t="str">
        <f t="shared" si="0"/>
        <v>Amit</v>
      </c>
      <c r="D24" s="2" t="str">
        <f t="shared" si="1"/>
        <v xml:space="preserve">Arun </v>
      </c>
      <c r="E24" s="2" t="str">
        <f t="shared" si="2"/>
        <v>le</v>
      </c>
    </row>
    <row r="25" spans="2:5" x14ac:dyDescent="0.3">
      <c r="B25" s="2" t="s">
        <v>27</v>
      </c>
      <c r="C25" s="2" t="str">
        <f t="shared" si="0"/>
        <v>Dhanashree</v>
      </c>
      <c r="D25" s="2" t="str">
        <f t="shared" si="1"/>
        <v xml:space="preserve">Ashok </v>
      </c>
      <c r="E25" s="2" t="str">
        <f t="shared" si="2"/>
        <v>k Jadhav</v>
      </c>
    </row>
    <row r="26" spans="2:5" x14ac:dyDescent="0.3">
      <c r="B26" s="2" t="s">
        <v>28</v>
      </c>
      <c r="C26" s="2" t="str">
        <f t="shared" si="0"/>
        <v>Vaishnavi</v>
      </c>
      <c r="D26" s="2" t="str">
        <f t="shared" si="1"/>
        <v xml:space="preserve">Suraj </v>
      </c>
      <c r="E26" s="2" t="str">
        <f t="shared" si="2"/>
        <v xml:space="preserve"> Rathod</v>
      </c>
    </row>
    <row r="27" spans="2:5" x14ac:dyDescent="0.3">
      <c r="B27" s="2" t="s">
        <v>29</v>
      </c>
      <c r="C27" s="2" t="str">
        <f t="shared" si="0"/>
        <v>Suraj</v>
      </c>
      <c r="D27" s="2" t="str">
        <f t="shared" si="1"/>
        <v xml:space="preserve">Sanjay </v>
      </c>
      <c r="E27" s="2" t="str">
        <f t="shared" si="2"/>
        <v>lke</v>
      </c>
    </row>
    <row r="28" spans="2:5" x14ac:dyDescent="0.3">
      <c r="B28" s="2" t="s">
        <v>30</v>
      </c>
      <c r="C28" s="2" t="str">
        <f t="shared" si="0"/>
        <v>Rushikesh</v>
      </c>
      <c r="D28" s="2" t="str">
        <f t="shared" si="1"/>
        <v xml:space="preserve">Asaram </v>
      </c>
      <c r="E28" s="2" t="str">
        <f t="shared" si="2"/>
        <v>artakke</v>
      </c>
    </row>
    <row r="29" spans="2:5" x14ac:dyDescent="0.3">
      <c r="B29" s="2" t="s">
        <v>31</v>
      </c>
      <c r="C29" s="2" t="str">
        <f t="shared" si="0"/>
        <v>Ganesh</v>
      </c>
      <c r="D29" s="2" t="str">
        <f t="shared" si="1"/>
        <v xml:space="preserve">Vilas </v>
      </c>
      <c r="E29" s="2" t="str">
        <f t="shared" si="2"/>
        <v>dhav</v>
      </c>
    </row>
    <row r="30" spans="2:5" x14ac:dyDescent="0.3">
      <c r="B30" s="2" t="s">
        <v>32</v>
      </c>
      <c r="C30" s="2" t="str">
        <f t="shared" si="0"/>
        <v>Omkar</v>
      </c>
      <c r="D30" s="2" t="str">
        <f t="shared" si="1"/>
        <v xml:space="preserve">Abhijeet </v>
      </c>
      <c r="E30" s="2" t="str">
        <f t="shared" si="2"/>
        <v>rve</v>
      </c>
    </row>
    <row r="31" spans="2:5" x14ac:dyDescent="0.3">
      <c r="B31" s="2" t="s">
        <v>33</v>
      </c>
      <c r="C31" s="2" t="str">
        <f t="shared" si="0"/>
        <v>Anjali</v>
      </c>
      <c r="D31" s="2" t="str">
        <f t="shared" si="1"/>
        <v xml:space="preserve">Prashant </v>
      </c>
      <c r="E31" s="2" t="str">
        <f t="shared" si="2"/>
        <v>atil</v>
      </c>
    </row>
    <row r="32" spans="2:5" x14ac:dyDescent="0.3">
      <c r="B32" s="2" t="s">
        <v>34</v>
      </c>
      <c r="C32" s="2" t="str">
        <f t="shared" si="0"/>
        <v>Mayank</v>
      </c>
      <c r="D32" s="2" t="str">
        <f t="shared" si="1"/>
        <v xml:space="preserve">Uttam </v>
      </c>
      <c r="E32" s="2" t="str">
        <f t="shared" si="2"/>
        <v>atle</v>
      </c>
    </row>
    <row r="33" spans="2:5" x14ac:dyDescent="0.3">
      <c r="B33" s="2" t="s">
        <v>35</v>
      </c>
      <c r="C33" s="2" t="str">
        <f t="shared" si="0"/>
        <v>Vaishnavi</v>
      </c>
      <c r="D33" s="2" t="str">
        <f t="shared" si="1"/>
        <v xml:space="preserve">Santosh </v>
      </c>
      <c r="E33" s="2" t="str">
        <f t="shared" si="2"/>
        <v>h Ubale</v>
      </c>
    </row>
    <row r="37" spans="2:5" x14ac:dyDescent="0.3">
      <c r="B37" s="1" t="s">
        <v>74</v>
      </c>
      <c r="C37" t="s">
        <v>75</v>
      </c>
      <c r="D37" t="s">
        <v>76</v>
      </c>
    </row>
    <row r="38" spans="2:5" x14ac:dyDescent="0.3">
      <c r="B38" s="2" t="s">
        <v>46</v>
      </c>
      <c r="C38" t="s">
        <v>37</v>
      </c>
      <c r="D38" t="s">
        <v>77</v>
      </c>
    </row>
    <row r="39" spans="2:5" x14ac:dyDescent="0.3">
      <c r="B39" s="2" t="s">
        <v>78</v>
      </c>
      <c r="C39" t="s">
        <v>40</v>
      </c>
      <c r="D39" t="s">
        <v>79</v>
      </c>
    </row>
    <row r="40" spans="2:5" x14ac:dyDescent="0.3">
      <c r="B40" s="2" t="s">
        <v>80</v>
      </c>
      <c r="C40" t="s">
        <v>43</v>
      </c>
      <c r="D40" t="s">
        <v>81</v>
      </c>
    </row>
    <row r="41" spans="2:5" x14ac:dyDescent="0.3">
      <c r="B41" s="2" t="s">
        <v>82</v>
      </c>
      <c r="C41" t="s">
        <v>46</v>
      </c>
      <c r="D41" t="s">
        <v>83</v>
      </c>
    </row>
    <row r="42" spans="2:5" x14ac:dyDescent="0.3">
      <c r="B42" s="2" t="s">
        <v>84</v>
      </c>
      <c r="C42" t="s">
        <v>49</v>
      </c>
      <c r="D42" t="s">
        <v>85</v>
      </c>
    </row>
    <row r="43" spans="2:5" x14ac:dyDescent="0.3">
      <c r="B43" s="2" t="s">
        <v>86</v>
      </c>
      <c r="C43" t="s">
        <v>52</v>
      </c>
      <c r="D43" t="s">
        <v>87</v>
      </c>
    </row>
    <row r="44" spans="2:5" x14ac:dyDescent="0.3">
      <c r="B44" s="2" t="s">
        <v>88</v>
      </c>
      <c r="C44" t="s">
        <v>55</v>
      </c>
      <c r="D44" t="s">
        <v>89</v>
      </c>
    </row>
    <row r="45" spans="2:5" x14ac:dyDescent="0.3">
      <c r="B45" s="2" t="s">
        <v>55</v>
      </c>
      <c r="C45" t="s">
        <v>58</v>
      </c>
      <c r="D45" t="s">
        <v>90</v>
      </c>
    </row>
    <row r="46" spans="2:5" x14ac:dyDescent="0.3">
      <c r="B46" s="2" t="s">
        <v>91</v>
      </c>
      <c r="C46" t="s">
        <v>61</v>
      </c>
      <c r="D46" t="s">
        <v>92</v>
      </c>
    </row>
    <row r="47" spans="2:5" x14ac:dyDescent="0.3">
      <c r="B47" s="2" t="s">
        <v>93</v>
      </c>
      <c r="C47" t="s">
        <v>64</v>
      </c>
      <c r="D47" t="s">
        <v>87</v>
      </c>
    </row>
    <row r="48" spans="2:5" x14ac:dyDescent="0.3">
      <c r="B48" s="2" t="s">
        <v>94</v>
      </c>
      <c r="C48" t="s">
        <v>66</v>
      </c>
      <c r="D48" t="s">
        <v>95</v>
      </c>
    </row>
    <row r="49" spans="2:4" x14ac:dyDescent="0.3">
      <c r="B49" s="2" t="s">
        <v>96</v>
      </c>
      <c r="C49" t="s">
        <v>69</v>
      </c>
      <c r="D49" t="s">
        <v>97</v>
      </c>
    </row>
    <row r="50" spans="2:4" x14ac:dyDescent="0.3">
      <c r="B50" s="2" t="s">
        <v>98</v>
      </c>
      <c r="C50" t="s">
        <v>72</v>
      </c>
      <c r="D50" t="s">
        <v>99</v>
      </c>
    </row>
    <row r="51" spans="2:4" x14ac:dyDescent="0.3">
      <c r="B51" s="2" t="s">
        <v>88</v>
      </c>
      <c r="C51" t="s">
        <v>100</v>
      </c>
      <c r="D51" t="s">
        <v>101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E90AB-411D-4491-A57D-B106310019CA}">
  <dimension ref="B2:H18"/>
  <sheetViews>
    <sheetView zoomScale="145" zoomScaleNormal="145" workbookViewId="0">
      <selection activeCell="H5" sqref="H5"/>
    </sheetView>
  </sheetViews>
  <sheetFormatPr defaultRowHeight="14.4" x14ac:dyDescent="0.3"/>
  <cols>
    <col min="2" max="2" width="11.33203125" bestFit="1" customWidth="1"/>
    <col min="3" max="3" width="12.109375" bestFit="1" customWidth="1"/>
    <col min="4" max="4" width="9.6640625" bestFit="1" customWidth="1"/>
    <col min="6" max="6" width="10.33203125" bestFit="1" customWidth="1"/>
    <col min="7" max="7" width="12.109375" bestFit="1" customWidth="1"/>
    <col min="8" max="8" width="9.6640625" bestFit="1" customWidth="1"/>
  </cols>
  <sheetData>
    <row r="2" spans="2:8" x14ac:dyDescent="0.3">
      <c r="B2" s="5" t="s">
        <v>19</v>
      </c>
    </row>
    <row r="3" spans="2:8" x14ac:dyDescent="0.3">
      <c r="B3" s="2" t="s">
        <v>36</v>
      </c>
      <c r="D3" s="5" t="s">
        <v>21</v>
      </c>
      <c r="F3" s="5" t="s">
        <v>19</v>
      </c>
      <c r="G3" s="5" t="s">
        <v>20</v>
      </c>
      <c r="H3" s="5" t="s">
        <v>21</v>
      </c>
    </row>
    <row r="4" spans="2:8" x14ac:dyDescent="0.3">
      <c r="B4" s="2" t="s">
        <v>39</v>
      </c>
      <c r="D4" s="2" t="s">
        <v>38</v>
      </c>
      <c r="F4" s="2" t="str">
        <f>B3</f>
        <v xml:space="preserve">Abhishek </v>
      </c>
      <c r="G4" s="2" t="str">
        <f ca="1">OFFSET(B3,3,1)</f>
        <v>Sudarshan</v>
      </c>
      <c r="H4" s="2" t="str">
        <f ca="1">OFFSET(B3,1,2)</f>
        <v xml:space="preserve"> Wavhal</v>
      </c>
    </row>
    <row r="5" spans="2:8" x14ac:dyDescent="0.3">
      <c r="B5" s="3" t="s">
        <v>42</v>
      </c>
      <c r="C5" s="6" t="s">
        <v>20</v>
      </c>
      <c r="D5" s="2" t="s">
        <v>41</v>
      </c>
      <c r="F5" s="2" t="str">
        <f t="shared" ref="F5:F16" si="0">B4</f>
        <v xml:space="preserve">Sagar </v>
      </c>
      <c r="G5" s="2" t="str">
        <f t="shared" ref="G5:G16" ca="1" si="1">OFFSET(B4,3,1)</f>
        <v>Sujit</v>
      </c>
      <c r="H5" s="2" t="str">
        <f t="shared" ref="H5:H16" ca="1" si="2">OFFSET(B4,1,2)</f>
        <v xml:space="preserve"> Kamble </v>
      </c>
    </row>
    <row r="6" spans="2:8" x14ac:dyDescent="0.3">
      <c r="B6" s="3" t="s">
        <v>45</v>
      </c>
      <c r="C6" s="3" t="s">
        <v>37</v>
      </c>
      <c r="D6" s="2" t="s">
        <v>44</v>
      </c>
      <c r="F6" s="2" t="str">
        <f t="shared" si="0"/>
        <v xml:space="preserve">Jitendra </v>
      </c>
      <c r="G6" s="2" t="str">
        <f t="shared" ca="1" si="1"/>
        <v>Raju</v>
      </c>
      <c r="H6" s="2" t="str">
        <f t="shared" ca="1" si="2"/>
        <v xml:space="preserve"> Pardesi</v>
      </c>
    </row>
    <row r="7" spans="2:8" x14ac:dyDescent="0.3">
      <c r="B7" s="3" t="s">
        <v>48</v>
      </c>
      <c r="C7" s="2" t="s">
        <v>40</v>
      </c>
      <c r="D7" s="2" t="s">
        <v>47</v>
      </c>
      <c r="F7" s="2" t="str">
        <f t="shared" si="0"/>
        <v xml:space="preserve">Krushna </v>
      </c>
      <c r="G7" s="2" t="str">
        <f t="shared" ca="1" si="1"/>
        <v>Abhishek</v>
      </c>
      <c r="H7" s="2" t="str">
        <f t="shared" ca="1" si="2"/>
        <v xml:space="preserve"> Lohare</v>
      </c>
    </row>
    <row r="8" spans="2:8" x14ac:dyDescent="0.3">
      <c r="B8" s="3" t="s">
        <v>51</v>
      </c>
      <c r="C8" s="2" t="s">
        <v>43</v>
      </c>
      <c r="D8" s="2" t="s">
        <v>50</v>
      </c>
      <c r="F8" s="2" t="str">
        <f t="shared" si="0"/>
        <v xml:space="preserve">Amit </v>
      </c>
      <c r="G8" s="2" t="str">
        <f t="shared" ca="1" si="1"/>
        <v>Arun</v>
      </c>
      <c r="H8" s="2" t="str">
        <f t="shared" ca="1" si="2"/>
        <v xml:space="preserve"> Dhavale</v>
      </c>
    </row>
    <row r="9" spans="2:8" x14ac:dyDescent="0.3">
      <c r="B9" s="3" t="s">
        <v>54</v>
      </c>
      <c r="C9" s="2" t="s">
        <v>46</v>
      </c>
      <c r="D9" s="2" t="s">
        <v>53</v>
      </c>
      <c r="F9" s="2" t="str">
        <f t="shared" si="0"/>
        <v xml:space="preserve">Dhanashree </v>
      </c>
      <c r="G9" s="2" t="str">
        <f t="shared" ca="1" si="1"/>
        <v>Ashok</v>
      </c>
      <c r="H9" s="2" t="str">
        <f t="shared" ca="1" si="2"/>
        <v xml:space="preserve"> Jadhav</v>
      </c>
    </row>
    <row r="10" spans="2:8" x14ac:dyDescent="0.3">
      <c r="B10" s="3" t="s">
        <v>57</v>
      </c>
      <c r="C10" s="2" t="s">
        <v>49</v>
      </c>
      <c r="D10" s="2" t="s">
        <v>56</v>
      </c>
      <c r="F10" s="2" t="str">
        <f t="shared" si="0"/>
        <v xml:space="preserve">Vaishnavi </v>
      </c>
      <c r="G10" s="2" t="str">
        <f t="shared" ca="1" si="1"/>
        <v>Suraj</v>
      </c>
      <c r="H10" s="2" t="str">
        <f t="shared" ca="1" si="2"/>
        <v xml:space="preserve"> Rathod</v>
      </c>
    </row>
    <row r="11" spans="2:8" x14ac:dyDescent="0.3">
      <c r="B11" s="3" t="s">
        <v>60</v>
      </c>
      <c r="C11" s="2" t="s">
        <v>52</v>
      </c>
      <c r="D11" s="2" t="s">
        <v>59</v>
      </c>
      <c r="F11" s="2" t="str">
        <f t="shared" si="0"/>
        <v xml:space="preserve">Suraj </v>
      </c>
      <c r="G11" s="2" t="str">
        <f t="shared" ca="1" si="1"/>
        <v>Sanjay</v>
      </c>
      <c r="H11" s="2" t="str">
        <f t="shared" ca="1" si="2"/>
        <v xml:space="preserve"> Shelke</v>
      </c>
    </row>
    <row r="12" spans="2:8" x14ac:dyDescent="0.3">
      <c r="B12" s="3" t="s">
        <v>63</v>
      </c>
      <c r="C12" s="2" t="s">
        <v>55</v>
      </c>
      <c r="D12" s="2" t="s">
        <v>62</v>
      </c>
      <c r="F12" s="2" t="str">
        <f t="shared" si="0"/>
        <v xml:space="preserve">Rushikesh </v>
      </c>
      <c r="G12" s="2" t="str">
        <f t="shared" ca="1" si="1"/>
        <v>Asaram</v>
      </c>
      <c r="H12" s="2" t="str">
        <f t="shared" ca="1" si="2"/>
        <v xml:space="preserve"> Bartakke</v>
      </c>
    </row>
    <row r="13" spans="2:8" x14ac:dyDescent="0.3">
      <c r="B13" s="3" t="s">
        <v>65</v>
      </c>
      <c r="C13" s="2" t="s">
        <v>58</v>
      </c>
      <c r="D13" s="2" t="s">
        <v>53</v>
      </c>
      <c r="F13" s="2" t="str">
        <f t="shared" si="0"/>
        <v xml:space="preserve">Ganesh </v>
      </c>
      <c r="G13" s="2" t="str">
        <f t="shared" ca="1" si="1"/>
        <v>Vilas</v>
      </c>
      <c r="H13" s="2" t="str">
        <f t="shared" ca="1" si="2"/>
        <v xml:space="preserve"> Jadhav</v>
      </c>
    </row>
    <row r="14" spans="2:8" x14ac:dyDescent="0.3">
      <c r="B14" s="3" t="s">
        <v>68</v>
      </c>
      <c r="C14" s="2" t="s">
        <v>61</v>
      </c>
      <c r="D14" s="2" t="s">
        <v>67</v>
      </c>
      <c r="F14" s="2" t="str">
        <f t="shared" si="0"/>
        <v xml:space="preserve">Omkar </v>
      </c>
      <c r="G14" s="2" t="str">
        <f t="shared" ca="1" si="1"/>
        <v>Abhijeet</v>
      </c>
      <c r="H14" s="2" t="str">
        <f t="shared" ca="1" si="2"/>
        <v xml:space="preserve"> Thorve</v>
      </c>
    </row>
    <row r="15" spans="2:8" x14ac:dyDescent="0.3">
      <c r="B15" s="3" t="s">
        <v>71</v>
      </c>
      <c r="C15" s="2" t="s">
        <v>64</v>
      </c>
      <c r="D15" s="2" t="s">
        <v>70</v>
      </c>
      <c r="F15" s="2" t="str">
        <f t="shared" si="0"/>
        <v xml:space="preserve">Anjali </v>
      </c>
      <c r="G15" s="2" t="str">
        <f t="shared" ca="1" si="1"/>
        <v>Prashant</v>
      </c>
      <c r="H15" s="2" t="str">
        <f t="shared" ca="1" si="2"/>
        <v xml:space="preserve"> Patil</v>
      </c>
    </row>
    <row r="16" spans="2:8" x14ac:dyDescent="0.3">
      <c r="C16" s="2" t="s">
        <v>66</v>
      </c>
      <c r="D16" s="4" t="s">
        <v>73</v>
      </c>
      <c r="F16" s="2" t="str">
        <f t="shared" si="0"/>
        <v xml:space="preserve">Mayank </v>
      </c>
      <c r="G16" s="2" t="str">
        <f t="shared" ca="1" si="1"/>
        <v>Uttam</v>
      </c>
      <c r="H16" s="2" t="str">
        <f t="shared" ca="1" si="2"/>
        <v xml:space="preserve"> Patle</v>
      </c>
    </row>
    <row r="17" spans="3:3" x14ac:dyDescent="0.3">
      <c r="C17" s="2" t="s">
        <v>69</v>
      </c>
    </row>
    <row r="18" spans="3:3" x14ac:dyDescent="0.3">
      <c r="C18" s="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</vt:lpstr>
      <vt:lpstr>Offset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Rupali Gaje</cp:lastModifiedBy>
  <dcterms:created xsi:type="dcterms:W3CDTF">2025-07-11T15:34:54Z</dcterms:created>
  <dcterms:modified xsi:type="dcterms:W3CDTF">2025-09-27T09:49:38Z</dcterms:modified>
</cp:coreProperties>
</file>